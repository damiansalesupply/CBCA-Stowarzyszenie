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kusz1" sheetId="1" r:id="rId4"/>
    <sheet state="visible" name="Management Costs" sheetId="2" r:id="rId5"/>
  </sheets>
  <definedNames/>
  <calcPr/>
  <extLst>
    <ext uri="GoogleSheetsCustomDataVersion2">
      <go:sheetsCustomData xmlns:go="http://customooxmlschemas.google.com/" r:id="rId6" roundtripDataChecksum="IqcNJSAAVoG8CiYOc2mSOGSvRD6sJR/gahMTAB28urU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22">
      <text>
        <t xml:space="preserve">======
ID#AAABptISLpo
tc={168B4C11-2152-4932-91EB-488E087E8B9E}    (2025-08-22 09:21:58)
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4 International Travels + money for other tasks mentione in Management Costs</t>
      </text>
    </comment>
  </commentList>
  <extLst>
    <ext uri="GoogleSheetsCustomDataVersion2">
      <go:sheetsCustomData xmlns:go="http://customooxmlschemas.google.com/" r:id="rId1" roundtripDataSignature="AMtx7miyl7wbOtyGBzaqr402HKH26j407Q=="/>
    </ext>
  </extLst>
</comments>
</file>

<file path=xl/sharedStrings.xml><?xml version="1.0" encoding="utf-8"?>
<sst xmlns="http://schemas.openxmlformats.org/spreadsheetml/2006/main" count="71" uniqueCount="57">
  <si>
    <t>TASK</t>
  </si>
  <si>
    <t>Who</t>
  </si>
  <si>
    <t>September</t>
  </si>
  <si>
    <t>October</t>
  </si>
  <si>
    <t>November</t>
  </si>
  <si>
    <t>December</t>
  </si>
  <si>
    <t>January</t>
  </si>
  <si>
    <t>Webpage</t>
  </si>
  <si>
    <t>Newsletter AGENT</t>
  </si>
  <si>
    <t>Damian</t>
  </si>
  <si>
    <t>Calendar Agent</t>
  </si>
  <si>
    <t>Content creating suppling</t>
  </si>
  <si>
    <t>Organic (we), Experts, Ext. Companies (Olimp, OctoSello)</t>
  </si>
  <si>
    <t>Managing content creating process</t>
  </si>
  <si>
    <t>Dominika</t>
  </si>
  <si>
    <t>Community Organistaion</t>
  </si>
  <si>
    <t>Platform (Circle)</t>
  </si>
  <si>
    <t>Tested, procedure</t>
  </si>
  <si>
    <t>Community Bulding Organic</t>
  </si>
  <si>
    <t>Marcin, Damian - networking , CH, SASU Sales team</t>
  </si>
  <si>
    <t>Comminity Manager</t>
  </si>
  <si>
    <t>Community Bulding Paid</t>
  </si>
  <si>
    <t>Selling of Membership</t>
  </si>
  <si>
    <t>Organic Selling</t>
  </si>
  <si>
    <t>Budget</t>
  </si>
  <si>
    <t>Cost</t>
  </si>
  <si>
    <t>Feburary</t>
  </si>
  <si>
    <t>March</t>
  </si>
  <si>
    <t>April</t>
  </si>
  <si>
    <t>May</t>
  </si>
  <si>
    <t>June</t>
  </si>
  <si>
    <t>July</t>
  </si>
  <si>
    <t>August</t>
  </si>
  <si>
    <t>COST</t>
  </si>
  <si>
    <t>Project And Community Manager</t>
  </si>
  <si>
    <t>Qualified Management Costs</t>
  </si>
  <si>
    <t>Tooling</t>
  </si>
  <si>
    <t>Circle</t>
  </si>
  <si>
    <t>Serwer</t>
  </si>
  <si>
    <t>CRM</t>
  </si>
  <si>
    <t>Zoom PRO</t>
  </si>
  <si>
    <t>Paid Community Bulding</t>
  </si>
  <si>
    <t>Income</t>
  </si>
  <si>
    <t>Package GOLD</t>
  </si>
  <si>
    <t>Package Silver</t>
  </si>
  <si>
    <t>Membership</t>
  </si>
  <si>
    <t>Community</t>
  </si>
  <si>
    <t>Profit</t>
  </si>
  <si>
    <t>Qualified Costs of Management</t>
  </si>
  <si>
    <t>Comment</t>
  </si>
  <si>
    <t>Article Writing Marcin and Damian Costs</t>
  </si>
  <si>
    <t>Hour</t>
  </si>
  <si>
    <t>Webinar Conducting Marcin and Damian</t>
  </si>
  <si>
    <t>Specific Projects (Events organised on Association Behalf)</t>
  </si>
  <si>
    <t>Travel Expenses for internal project meetings</t>
  </si>
  <si>
    <t>Internal Employee Costs both Damian amd Marcn</t>
  </si>
  <si>
    <t>Website Maintance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</si>
</sst>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[$€-2]\ * #,##0.00_-;\-[$€-2]\ * #,##0.00_-;_-[$€-2]\ * &quot;-&quot;??_-;_-@"/>
  </numFmts>
  <fonts count="7">
    <font>
      <sz val="11.0"/>
      <color theme="1"/>
      <name val="Aptos Narrow"/>
      <scheme val="minor"/>
    </font>
    <font>
      <b/>
      <sz val="11.0"/>
      <color theme="1"/>
      <name val="Aptos Narrow"/>
    </font>
    <font/>
    <font>
      <sz val="11.0"/>
      <color theme="1"/>
      <name val="Aptos Narrow"/>
    </font>
    <font>
      <sz val="11.0"/>
      <color theme="1"/>
      <name val="Arial"/>
    </font>
    <font>
      <b/>
      <color theme="1"/>
      <name val="Arial"/>
    </font>
    <font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1CEEE"/>
        <bgColor rgb="FFF1CEEE"/>
      </patternFill>
    </fill>
    <fill>
      <patternFill patternType="solid">
        <fgColor rgb="FFB3E5A1"/>
        <bgColor rgb="FFB3E5A1"/>
      </patternFill>
    </fill>
    <fill>
      <patternFill patternType="solid">
        <fgColor rgb="FFC1F0C8"/>
        <bgColor rgb="FFC1F0C8"/>
      </patternFill>
    </fill>
    <fill>
      <patternFill patternType="solid">
        <fgColor rgb="FFD0D0D0"/>
        <bgColor rgb="FFD0D0D0"/>
      </patternFill>
    </fill>
    <fill>
      <patternFill patternType="solid">
        <fgColor theme="9"/>
        <bgColor theme="9"/>
      </patternFill>
    </fill>
    <fill>
      <patternFill patternType="solid">
        <fgColor rgb="FFA5A5A5"/>
        <bgColor rgb="FFA5A5A5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center"/>
    </xf>
    <xf borderId="2" fillId="0" fontId="1" numFmtId="0" xfId="0" applyAlignment="1" applyBorder="1" applyFont="1">
      <alignment vertical="center"/>
    </xf>
    <xf borderId="3" fillId="0" fontId="2" numFmtId="0" xfId="0" applyBorder="1" applyFont="1"/>
    <xf borderId="4" fillId="0" fontId="2" numFmtId="0" xfId="0" applyBorder="1" applyFont="1"/>
    <xf borderId="5" fillId="0" fontId="1" numFmtId="0" xfId="0" applyAlignment="1" applyBorder="1" applyFont="1">
      <alignment vertical="center"/>
    </xf>
    <xf borderId="0" fillId="0" fontId="1" numFmtId="0" xfId="0" applyAlignment="1" applyFont="1">
      <alignment vertical="center"/>
    </xf>
    <xf borderId="0" fillId="0" fontId="3" numFmtId="0" xfId="0" applyAlignment="1" applyFont="1">
      <alignment vertical="center"/>
    </xf>
    <xf borderId="0" fillId="0" fontId="3" numFmtId="0" xfId="0" applyFont="1"/>
    <xf borderId="0" fillId="0" fontId="1" numFmtId="0" xfId="0" applyFont="1"/>
    <xf borderId="6" fillId="0" fontId="3" numFmtId="0" xfId="0" applyBorder="1" applyFont="1"/>
    <xf borderId="6" fillId="0" fontId="1" numFmtId="0" xfId="0" applyBorder="1" applyFont="1"/>
    <xf borderId="6" fillId="0" fontId="3" numFmtId="0" xfId="0" applyAlignment="1" applyBorder="1" applyFont="1">
      <alignment horizontal="right"/>
    </xf>
    <xf borderId="6" fillId="2" fontId="3" numFmtId="0" xfId="0" applyBorder="1" applyFill="1" applyFont="1"/>
    <xf borderId="6" fillId="3" fontId="3" numFmtId="0" xfId="0" applyBorder="1" applyFill="1" applyFont="1"/>
    <xf borderId="6" fillId="0" fontId="3" numFmtId="0" xfId="0" applyAlignment="1" applyBorder="1" applyFont="1">
      <alignment shrinkToFit="0" wrapText="1"/>
    </xf>
    <xf borderId="6" fillId="4" fontId="3" numFmtId="0" xfId="0" applyBorder="1" applyFill="1" applyFont="1"/>
    <xf borderId="6" fillId="0" fontId="1" numFmtId="0" xfId="0" applyAlignment="1" applyBorder="1" applyFont="1">
      <alignment horizontal="left"/>
    </xf>
    <xf borderId="6" fillId="0" fontId="1" numFmtId="0" xfId="0" applyAlignment="1" applyBorder="1" applyFont="1">
      <alignment horizontal="right"/>
    </xf>
    <xf borderId="6" fillId="4" fontId="3" numFmtId="0" xfId="0" applyAlignment="1" applyBorder="1" applyFont="1">
      <alignment horizontal="center"/>
    </xf>
    <xf borderId="6" fillId="4" fontId="1" numFmtId="0" xfId="0" applyAlignment="1" applyBorder="1" applyFont="1">
      <alignment horizontal="center"/>
    </xf>
    <xf borderId="7" fillId="4" fontId="1" numFmtId="0" xfId="0" applyAlignment="1" applyBorder="1" applyFont="1">
      <alignment horizontal="center"/>
    </xf>
    <xf borderId="8" fillId="4" fontId="1" numFmtId="0" xfId="0" applyAlignment="1" applyBorder="1" applyFont="1">
      <alignment horizontal="center"/>
    </xf>
    <xf borderId="6" fillId="4" fontId="1" numFmtId="0" xfId="0" applyBorder="1" applyFont="1"/>
    <xf borderId="8" fillId="4" fontId="1" numFmtId="0" xfId="0" applyBorder="1" applyFont="1"/>
    <xf borderId="7" fillId="5" fontId="1" numFmtId="0" xfId="0" applyAlignment="1" applyBorder="1" applyFill="1" applyFont="1">
      <alignment horizontal="center"/>
    </xf>
    <xf borderId="7" fillId="5" fontId="3" numFmtId="0" xfId="0" applyAlignment="1" applyBorder="1" applyFont="1">
      <alignment horizontal="center"/>
    </xf>
    <xf borderId="6" fillId="0" fontId="3" numFmtId="164" xfId="0" applyBorder="1" applyFont="1" applyNumberFormat="1"/>
    <xf borderId="8" fillId="5" fontId="3" numFmtId="164" xfId="0" applyAlignment="1" applyBorder="1" applyFont="1" applyNumberFormat="1">
      <alignment horizontal="center"/>
    </xf>
    <xf borderId="7" fillId="5" fontId="3" numFmtId="164" xfId="0" applyAlignment="1" applyBorder="1" applyFont="1" applyNumberFormat="1">
      <alignment horizontal="center"/>
    </xf>
    <xf borderId="9" fillId="0" fontId="3" numFmtId="0" xfId="0" applyBorder="1" applyFont="1"/>
    <xf borderId="9" fillId="0" fontId="4" numFmtId="0" xfId="0" applyAlignment="1" applyBorder="1" applyFont="1">
      <alignment readingOrder="0"/>
    </xf>
    <xf borderId="7" fillId="6" fontId="3" numFmtId="0" xfId="0" applyAlignment="1" applyBorder="1" applyFill="1" applyFont="1">
      <alignment horizontal="center"/>
    </xf>
    <xf borderId="6" fillId="7" fontId="3" numFmtId="0" xfId="0" applyBorder="1" applyFill="1" applyFont="1"/>
    <xf borderId="6" fillId="5" fontId="3" numFmtId="164" xfId="0" applyAlignment="1" applyBorder="1" applyFont="1" applyNumberFormat="1">
      <alignment horizontal="center"/>
    </xf>
    <xf borderId="7" fillId="7" fontId="3" numFmtId="0" xfId="0" applyBorder="1" applyFont="1"/>
    <xf borderId="0" fillId="0" fontId="5" numFmtId="0" xfId="0" applyAlignment="1" applyFont="1">
      <alignment readingOrder="0"/>
    </xf>
    <xf borderId="0" fillId="0" fontId="3" numFmtId="164" xfId="0" applyFont="1" applyNumberFormat="1"/>
    <xf borderId="6" fillId="0" fontId="3" numFmtId="0" xfId="0" applyAlignment="1" applyBorder="1" applyFont="1">
      <alignment horizontal="right" shrinkToFit="0" wrapText="1"/>
    </xf>
    <xf borderId="0" fillId="0" fontId="6" numFmtId="0" xfId="0" applyAlignment="1" applyFont="1">
      <alignment readingOrder="0"/>
    </xf>
    <xf borderId="6" fillId="0" fontId="4" numFmtId="164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8.38"/>
    <col customWidth="1" min="2" max="2" width="44.75"/>
    <col customWidth="1" min="3" max="3" width="13.75"/>
    <col customWidth="1" min="4" max="4" width="13.0"/>
    <col customWidth="1" min="5" max="5" width="10.63"/>
    <col customWidth="1" min="6" max="7" width="9.25"/>
    <col customWidth="1" min="8" max="9" width="10.13"/>
    <col customWidth="1" min="10" max="10" width="9.38"/>
    <col customWidth="1" min="11" max="11" width="10.0"/>
    <col customWidth="1" min="12" max="12" width="10.25"/>
    <col customWidth="1" min="13" max="13" width="10.38"/>
    <col customWidth="1" min="14" max="14" width="10.5"/>
    <col customWidth="1" min="15" max="15" width="9.75"/>
    <col customWidth="1" min="16" max="16" width="9.25"/>
    <col customWidth="1" min="17" max="17" width="10.38"/>
    <col customWidth="1" min="18" max="18" width="11.75"/>
    <col customWidth="1" min="19" max="19" width="10.75"/>
    <col customWidth="1" min="20" max="20" width="10.63"/>
    <col customWidth="1" min="21" max="26" width="7.63"/>
  </cols>
  <sheetData>
    <row r="1" ht="14.25" customHeight="1">
      <c r="A1" s="1" t="s">
        <v>0</v>
      </c>
      <c r="B1" s="1" t="s">
        <v>1</v>
      </c>
      <c r="C1" s="2" t="s">
        <v>2</v>
      </c>
      <c r="D1" s="3"/>
      <c r="E1" s="3"/>
      <c r="F1" s="4"/>
      <c r="G1" s="2" t="s">
        <v>3</v>
      </c>
      <c r="H1" s="3"/>
      <c r="I1" s="3"/>
      <c r="J1" s="4"/>
      <c r="K1" s="1" t="s">
        <v>4</v>
      </c>
      <c r="L1" s="5"/>
      <c r="O1" s="6" t="s">
        <v>5</v>
      </c>
      <c r="P1" s="7"/>
      <c r="Q1" s="8"/>
      <c r="R1" s="8"/>
      <c r="S1" s="9" t="s">
        <v>6</v>
      </c>
    </row>
    <row r="2" ht="14.25" customHeight="1">
      <c r="A2" s="10"/>
      <c r="B2" s="10"/>
      <c r="C2" s="10">
        <v>1.0</v>
      </c>
      <c r="D2" s="10">
        <v>2.0</v>
      </c>
      <c r="E2" s="10">
        <v>3.0</v>
      </c>
      <c r="F2" s="10">
        <v>4.0</v>
      </c>
      <c r="G2" s="10">
        <v>1.0</v>
      </c>
      <c r="H2" s="10">
        <v>2.0</v>
      </c>
      <c r="I2" s="10">
        <v>3.0</v>
      </c>
      <c r="J2" s="10">
        <v>4.0</v>
      </c>
      <c r="K2" s="10">
        <v>1.0</v>
      </c>
      <c r="L2" s="10">
        <v>2.0</v>
      </c>
      <c r="M2" s="10">
        <v>3.0</v>
      </c>
      <c r="N2" s="10">
        <v>4.0</v>
      </c>
      <c r="O2" s="10">
        <v>1.0</v>
      </c>
      <c r="P2" s="10">
        <v>2.0</v>
      </c>
      <c r="Q2" s="10">
        <v>3.0</v>
      </c>
      <c r="R2" s="10">
        <v>4.0</v>
      </c>
      <c r="S2" s="10"/>
      <c r="T2" s="10"/>
      <c r="U2" s="10"/>
      <c r="V2" s="10"/>
      <c r="W2" s="10"/>
    </row>
    <row r="3" ht="14.25" customHeight="1">
      <c r="A3" s="11" t="s">
        <v>7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</row>
    <row r="4" ht="14.25" customHeight="1">
      <c r="A4" s="12" t="s">
        <v>8</v>
      </c>
      <c r="B4" s="10" t="s">
        <v>9</v>
      </c>
      <c r="C4" s="13"/>
      <c r="D4" s="13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</row>
    <row r="5" ht="14.25" customHeight="1">
      <c r="A5" s="12" t="s">
        <v>10</v>
      </c>
      <c r="B5" s="10" t="s">
        <v>9</v>
      </c>
      <c r="C5" s="14"/>
      <c r="D5" s="14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</row>
    <row r="6" ht="14.25" customHeight="1">
      <c r="A6" s="11" t="s">
        <v>11</v>
      </c>
      <c r="B6" s="15" t="s">
        <v>12</v>
      </c>
      <c r="C6" s="13"/>
      <c r="D6" s="13"/>
      <c r="E6" s="13"/>
      <c r="F6" s="13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</row>
    <row r="7" ht="14.25" customHeight="1">
      <c r="A7" s="12" t="s">
        <v>13</v>
      </c>
      <c r="B7" s="15" t="s">
        <v>14</v>
      </c>
      <c r="C7" s="14"/>
      <c r="D7" s="14"/>
      <c r="E7" s="14"/>
      <c r="F7" s="14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  <row r="8" ht="14.25" customHeight="1">
      <c r="A8" s="10"/>
      <c r="B8" s="15"/>
      <c r="C8" s="13"/>
      <c r="D8" s="13"/>
      <c r="E8" s="13"/>
      <c r="F8" s="13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</row>
    <row r="9" ht="14.25" customHeight="1">
      <c r="A9" s="11" t="s">
        <v>15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  <row r="10" ht="14.25" customHeight="1">
      <c r="A10" s="12" t="s">
        <v>16</v>
      </c>
      <c r="B10" s="10" t="s">
        <v>17</v>
      </c>
      <c r="C10" s="14"/>
      <c r="D10" s="14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</row>
    <row r="11" ht="14.25" customHeight="1">
      <c r="A11" s="12" t="s">
        <v>18</v>
      </c>
      <c r="B11" s="10" t="s">
        <v>19</v>
      </c>
      <c r="C11" s="10"/>
      <c r="D11" s="10"/>
      <c r="E11" s="13"/>
      <c r="F11" s="13"/>
      <c r="G11" s="13"/>
      <c r="H11" s="13"/>
      <c r="I11" s="13"/>
      <c r="J11" s="13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  <row r="12" ht="14.25" customHeight="1">
      <c r="A12" s="12" t="s">
        <v>20</v>
      </c>
      <c r="B12" s="10" t="s">
        <v>14</v>
      </c>
      <c r="C12" s="10"/>
      <c r="D12" s="10"/>
      <c r="E12" s="16"/>
      <c r="F12" s="16"/>
      <c r="G12" s="16"/>
      <c r="H12" s="16"/>
      <c r="I12" s="16"/>
      <c r="J12" s="16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</row>
    <row r="13" ht="14.25" customHeight="1">
      <c r="A13" s="12" t="s">
        <v>21</v>
      </c>
      <c r="B13" s="10"/>
      <c r="C13" s="10"/>
      <c r="D13" s="10"/>
      <c r="E13" s="10"/>
      <c r="F13" s="10"/>
      <c r="G13" s="10"/>
      <c r="H13" s="10"/>
      <c r="I13" s="10"/>
      <c r="J13" s="10"/>
      <c r="K13" s="14"/>
      <c r="L13" s="14"/>
      <c r="M13" s="14"/>
      <c r="N13" s="14"/>
      <c r="O13" s="16"/>
      <c r="P13" s="16"/>
      <c r="Q13" s="16"/>
      <c r="R13" s="16"/>
      <c r="S13" s="10"/>
      <c r="T13" s="10"/>
      <c r="U13" s="10"/>
      <c r="V13" s="10"/>
      <c r="W13" s="10"/>
    </row>
    <row r="14" ht="14.25" customHeight="1">
      <c r="A14" s="17" t="s">
        <v>22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</row>
    <row r="15" ht="14.25" customHeight="1">
      <c r="A15" s="18" t="s">
        <v>23</v>
      </c>
      <c r="B15" s="10"/>
      <c r="C15" s="10"/>
      <c r="D15" s="10"/>
      <c r="E15" s="10"/>
      <c r="F15" s="10"/>
      <c r="G15" s="10"/>
      <c r="H15" s="10"/>
      <c r="I15" s="10"/>
      <c r="J15" s="10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</row>
    <row r="16" ht="14.25" customHeight="1"/>
    <row r="17" ht="14.25" customHeight="1"/>
    <row r="18" ht="14.25" customHeight="1"/>
    <row r="19" ht="14.25" customHeight="1">
      <c r="A19" s="19" t="s">
        <v>24</v>
      </c>
      <c r="B19" s="20" t="s">
        <v>25</v>
      </c>
      <c r="C19" s="20" t="s">
        <v>2</v>
      </c>
      <c r="D19" s="20" t="s">
        <v>3</v>
      </c>
      <c r="E19" s="20" t="s">
        <v>4</v>
      </c>
      <c r="F19" s="20" t="s">
        <v>5</v>
      </c>
      <c r="G19" s="21">
        <v>2025.0</v>
      </c>
      <c r="H19" s="20" t="s">
        <v>6</v>
      </c>
      <c r="I19" s="20" t="s">
        <v>26</v>
      </c>
      <c r="J19" s="20" t="s">
        <v>27</v>
      </c>
      <c r="K19" s="20" t="s">
        <v>28</v>
      </c>
      <c r="L19" s="22" t="s">
        <v>29</v>
      </c>
      <c r="M19" s="23" t="s">
        <v>30</v>
      </c>
      <c r="N19" s="23" t="s">
        <v>31</v>
      </c>
      <c r="O19" s="23" t="s">
        <v>32</v>
      </c>
      <c r="P19" s="23" t="s">
        <v>2</v>
      </c>
      <c r="Q19" s="23" t="s">
        <v>3</v>
      </c>
      <c r="R19" s="24" t="s">
        <v>4</v>
      </c>
      <c r="S19" s="23" t="s">
        <v>5</v>
      </c>
      <c r="T19" s="25">
        <v>2026.0</v>
      </c>
    </row>
    <row r="20" ht="14.25" customHeight="1">
      <c r="A20" s="11" t="s">
        <v>33</v>
      </c>
      <c r="B20" s="10"/>
      <c r="C20" s="10"/>
      <c r="D20" s="10"/>
      <c r="E20" s="10"/>
      <c r="F20" s="10"/>
      <c r="G20" s="26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26"/>
    </row>
    <row r="21" ht="14.25" customHeight="1">
      <c r="A21" s="10" t="s">
        <v>34</v>
      </c>
      <c r="B21" s="27">
        <f>33.5/4.26</f>
        <v>7.863849765</v>
      </c>
      <c r="C21" s="27">
        <f t="shared" ref="C21:F21" si="1">$B$21*80</f>
        <v>629.1079812</v>
      </c>
      <c r="D21" s="27">
        <f t="shared" si="1"/>
        <v>629.1079812</v>
      </c>
      <c r="E21" s="27">
        <f t="shared" si="1"/>
        <v>629.1079812</v>
      </c>
      <c r="F21" s="27">
        <f t="shared" si="1"/>
        <v>629.1079812</v>
      </c>
      <c r="G21" s="28">
        <f>SUM(C21:F21)</f>
        <v>2516.431925</v>
      </c>
      <c r="H21" s="27">
        <f t="shared" ref="H21:J21" si="2">$B$21*80</f>
        <v>629.1079812</v>
      </c>
      <c r="I21" s="27">
        <f t="shared" si="2"/>
        <v>629.1079812</v>
      </c>
      <c r="J21" s="27">
        <f t="shared" si="2"/>
        <v>629.1079812</v>
      </c>
      <c r="K21" s="27">
        <f t="shared" ref="K21:S21" si="3">$B$21*160</f>
        <v>1258.215962</v>
      </c>
      <c r="L21" s="27">
        <f t="shared" si="3"/>
        <v>1258.215962</v>
      </c>
      <c r="M21" s="27">
        <f t="shared" si="3"/>
        <v>1258.215962</v>
      </c>
      <c r="N21" s="27">
        <f t="shared" si="3"/>
        <v>1258.215962</v>
      </c>
      <c r="O21" s="27">
        <f t="shared" si="3"/>
        <v>1258.215962</v>
      </c>
      <c r="P21" s="27">
        <f t="shared" si="3"/>
        <v>1258.215962</v>
      </c>
      <c r="Q21" s="27">
        <f t="shared" si="3"/>
        <v>1258.215962</v>
      </c>
      <c r="R21" s="27">
        <f t="shared" si="3"/>
        <v>1258.215962</v>
      </c>
      <c r="S21" s="27">
        <f t="shared" si="3"/>
        <v>1258.215962</v>
      </c>
      <c r="T21" s="29">
        <f t="shared" ref="T21:T22" si="4">SUM(H21:S21)</f>
        <v>13211.26761</v>
      </c>
    </row>
    <row r="22" ht="14.25" customHeight="1">
      <c r="A22" s="10" t="s">
        <v>35</v>
      </c>
      <c r="B22" s="27"/>
      <c r="C22" s="27">
        <v>550.0</v>
      </c>
      <c r="D22" s="27">
        <v>550.0</v>
      </c>
      <c r="E22" s="27">
        <v>550.0</v>
      </c>
      <c r="F22" s="27">
        <v>550.0</v>
      </c>
      <c r="G22" s="29"/>
      <c r="H22" s="27">
        <v>550.0</v>
      </c>
      <c r="I22" s="27">
        <v>550.0</v>
      </c>
      <c r="J22" s="27">
        <v>550.0</v>
      </c>
      <c r="K22" s="27">
        <v>550.0</v>
      </c>
      <c r="L22" s="27">
        <v>550.0</v>
      </c>
      <c r="M22" s="27">
        <v>550.0</v>
      </c>
      <c r="N22" s="27">
        <v>550.0</v>
      </c>
      <c r="O22" s="27">
        <v>550.0</v>
      </c>
      <c r="P22" s="27">
        <v>550.0</v>
      </c>
      <c r="Q22" s="27">
        <v>550.0</v>
      </c>
      <c r="R22" s="27">
        <v>550.0</v>
      </c>
      <c r="S22" s="27">
        <v>550.0</v>
      </c>
      <c r="T22" s="29">
        <f t="shared" si="4"/>
        <v>6600</v>
      </c>
    </row>
    <row r="23" ht="14.25" customHeight="1">
      <c r="A23" s="11" t="s">
        <v>36</v>
      </c>
      <c r="B23" s="10"/>
      <c r="C23" s="10"/>
      <c r="D23" s="10"/>
      <c r="E23" s="10"/>
      <c r="F23" s="10"/>
      <c r="G23" s="26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26"/>
    </row>
    <row r="24" ht="14.25" customHeight="1">
      <c r="A24" s="10" t="s">
        <v>37</v>
      </c>
      <c r="B24" s="10">
        <v>173.0</v>
      </c>
      <c r="C24" s="27">
        <v>173.0</v>
      </c>
      <c r="D24" s="27">
        <v>173.0</v>
      </c>
      <c r="E24" s="27">
        <v>173.0</v>
      </c>
      <c r="F24" s="27">
        <v>173.0</v>
      </c>
      <c r="G24" s="28">
        <f t="shared" ref="G24:G26" si="5">SUM(C24:F24)</f>
        <v>692</v>
      </c>
      <c r="H24" s="27">
        <v>173.0</v>
      </c>
      <c r="I24" s="27">
        <v>173.0</v>
      </c>
      <c r="J24" s="27">
        <v>173.0</v>
      </c>
      <c r="K24" s="27">
        <v>173.0</v>
      </c>
      <c r="L24" s="27">
        <v>173.0</v>
      </c>
      <c r="M24" s="27">
        <v>173.0</v>
      </c>
      <c r="N24" s="27">
        <v>173.0</v>
      </c>
      <c r="O24" s="27">
        <v>173.0</v>
      </c>
      <c r="P24" s="27">
        <v>173.0</v>
      </c>
      <c r="Q24" s="27">
        <v>173.0</v>
      </c>
      <c r="R24" s="27">
        <v>173.0</v>
      </c>
      <c r="S24" s="27">
        <v>173.0</v>
      </c>
      <c r="T24" s="29">
        <f t="shared" ref="T24:T26" si="6">SUM(H24:S24)</f>
        <v>2076</v>
      </c>
    </row>
    <row r="25" ht="14.25" customHeight="1">
      <c r="A25" s="10" t="s">
        <v>38</v>
      </c>
      <c r="B25" s="10"/>
      <c r="C25" s="10"/>
      <c r="D25" s="10"/>
      <c r="E25" s="10"/>
      <c r="F25" s="27">
        <v>200.0</v>
      </c>
      <c r="G25" s="28">
        <f t="shared" si="5"/>
        <v>200</v>
      </c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29">
        <f t="shared" si="6"/>
        <v>0</v>
      </c>
    </row>
    <row r="26" ht="14.25" customHeight="1">
      <c r="A26" s="30" t="s">
        <v>39</v>
      </c>
      <c r="B26" s="10"/>
      <c r="C26" s="10"/>
      <c r="D26" s="27">
        <v>25.0</v>
      </c>
      <c r="E26" s="27">
        <v>25.0</v>
      </c>
      <c r="F26" s="27">
        <v>25.0</v>
      </c>
      <c r="G26" s="28">
        <f t="shared" si="5"/>
        <v>75</v>
      </c>
      <c r="H26" s="27">
        <v>25.0</v>
      </c>
      <c r="I26" s="27">
        <v>25.0</v>
      </c>
      <c r="J26" s="27">
        <v>25.0</v>
      </c>
      <c r="K26" s="27">
        <v>25.0</v>
      </c>
      <c r="L26" s="27">
        <v>25.0</v>
      </c>
      <c r="M26" s="27">
        <v>25.0</v>
      </c>
      <c r="N26" s="27">
        <v>25.0</v>
      </c>
      <c r="O26" s="27">
        <v>25.0</v>
      </c>
      <c r="P26" s="27">
        <v>25.0</v>
      </c>
      <c r="Q26" s="27">
        <v>25.0</v>
      </c>
      <c r="R26" s="27">
        <v>25.0</v>
      </c>
      <c r="S26" s="27">
        <v>25.0</v>
      </c>
      <c r="T26" s="29">
        <f t="shared" si="6"/>
        <v>300</v>
      </c>
    </row>
    <row r="27" ht="14.25" customHeight="1">
      <c r="A27" s="31" t="s">
        <v>40</v>
      </c>
      <c r="B27" s="10"/>
      <c r="C27" s="10"/>
      <c r="D27" s="10"/>
      <c r="E27" s="27"/>
      <c r="F27" s="27"/>
      <c r="G27" s="28"/>
      <c r="H27" s="27"/>
      <c r="I27" s="10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9"/>
    </row>
    <row r="28" ht="14.25" customHeight="1">
      <c r="A28" s="31" t="s">
        <v>41</v>
      </c>
      <c r="B28" s="10"/>
      <c r="C28" s="10"/>
      <c r="D28" s="10"/>
      <c r="E28" s="27">
        <v>500.0</v>
      </c>
      <c r="F28" s="27">
        <v>500.0</v>
      </c>
      <c r="G28" s="28">
        <f t="shared" ref="G28:G30" si="7">SUM(C28:F28)</f>
        <v>1000</v>
      </c>
      <c r="H28" s="27">
        <v>500.0</v>
      </c>
      <c r="I28" s="10"/>
      <c r="J28" s="27">
        <v>500.0</v>
      </c>
      <c r="K28" s="27">
        <v>500.0</v>
      </c>
      <c r="L28" s="27">
        <v>500.0</v>
      </c>
      <c r="M28" s="27">
        <v>500.0</v>
      </c>
      <c r="N28" s="27">
        <v>500.0</v>
      </c>
      <c r="O28" s="27">
        <v>500.0</v>
      </c>
      <c r="P28" s="27">
        <v>500.0</v>
      </c>
      <c r="Q28" s="27">
        <v>500.0</v>
      </c>
      <c r="R28" s="27">
        <v>500.0</v>
      </c>
      <c r="S28" s="27">
        <v>500.0</v>
      </c>
      <c r="T28" s="29">
        <f>SUM(H28:S28)</f>
        <v>5500</v>
      </c>
    </row>
    <row r="29" ht="14.25" customHeight="1">
      <c r="A29" s="10"/>
      <c r="B29" s="10"/>
      <c r="C29" s="10"/>
      <c r="D29" s="10"/>
      <c r="E29" s="10"/>
      <c r="F29" s="10"/>
      <c r="G29" s="28">
        <f t="shared" si="7"/>
        <v>0</v>
      </c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26"/>
    </row>
    <row r="30" ht="14.25" customHeight="1">
      <c r="C30" s="27">
        <f t="shared" ref="C30:F30" si="8">SUM(C20:C29)</f>
        <v>1352.107981</v>
      </c>
      <c r="D30" s="27">
        <f t="shared" si="8"/>
        <v>1377.107981</v>
      </c>
      <c r="E30" s="27">
        <f t="shared" si="8"/>
        <v>1877.107981</v>
      </c>
      <c r="F30" s="27">
        <f t="shared" si="8"/>
        <v>2077.107981</v>
      </c>
      <c r="G30" s="28">
        <f t="shared" si="7"/>
        <v>6683.431925</v>
      </c>
      <c r="H30" s="27">
        <f t="shared" ref="H30:S30" si="9">SUM(H20:H29)</f>
        <v>1877.107981</v>
      </c>
      <c r="I30" s="27">
        <f t="shared" si="9"/>
        <v>1377.107981</v>
      </c>
      <c r="J30" s="27">
        <f t="shared" si="9"/>
        <v>1877.107981</v>
      </c>
      <c r="K30" s="27">
        <f t="shared" si="9"/>
        <v>2506.215962</v>
      </c>
      <c r="L30" s="27">
        <f t="shared" si="9"/>
        <v>2506.215962</v>
      </c>
      <c r="M30" s="27">
        <f t="shared" si="9"/>
        <v>2506.215962</v>
      </c>
      <c r="N30" s="27">
        <f t="shared" si="9"/>
        <v>2506.215962</v>
      </c>
      <c r="O30" s="27">
        <f t="shared" si="9"/>
        <v>2506.215962</v>
      </c>
      <c r="P30" s="27">
        <f t="shared" si="9"/>
        <v>2506.215962</v>
      </c>
      <c r="Q30" s="27">
        <f t="shared" si="9"/>
        <v>2506.215962</v>
      </c>
      <c r="R30" s="27">
        <f t="shared" si="9"/>
        <v>2506.215962</v>
      </c>
      <c r="S30" s="27">
        <f t="shared" si="9"/>
        <v>2506.215962</v>
      </c>
      <c r="T30" s="29">
        <f>SUM(H30:S30)</f>
        <v>27687.26761</v>
      </c>
    </row>
    <row r="31" ht="14.25" customHeight="1">
      <c r="C31" s="10"/>
      <c r="D31" s="10"/>
      <c r="E31" s="10"/>
      <c r="F31" s="27"/>
    </row>
    <row r="32" ht="14.25" customHeight="1">
      <c r="A32" s="32" t="s">
        <v>42</v>
      </c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</row>
    <row r="33" ht="14.25" customHeight="1">
      <c r="A33" s="11" t="s">
        <v>43</v>
      </c>
      <c r="B33" s="10">
        <v>5000.0</v>
      </c>
      <c r="C33" s="10"/>
      <c r="D33" s="10"/>
      <c r="E33" s="10"/>
      <c r="F33" s="10"/>
      <c r="G33" s="33">
        <v>0.0</v>
      </c>
      <c r="H33" s="10">
        <v>5000.0</v>
      </c>
      <c r="I33" s="10"/>
      <c r="J33" s="10">
        <v>5000.0</v>
      </c>
      <c r="K33" s="10"/>
      <c r="L33" s="10">
        <v>5000.0</v>
      </c>
      <c r="M33" s="10"/>
      <c r="N33" s="10"/>
      <c r="O33" s="10"/>
      <c r="P33" s="10">
        <v>5000.0</v>
      </c>
      <c r="Q33" s="10"/>
      <c r="R33" s="10">
        <v>5000.0</v>
      </c>
      <c r="S33" s="10"/>
      <c r="T33" s="34">
        <f t="shared" ref="T33:T35" si="10">SUM(H33:S33)</f>
        <v>25000</v>
      </c>
    </row>
    <row r="34" ht="14.25" customHeight="1">
      <c r="A34" s="10" t="s">
        <v>44</v>
      </c>
      <c r="B34" s="10">
        <v>1500.0</v>
      </c>
      <c r="C34" s="10"/>
      <c r="D34" s="10"/>
      <c r="E34" s="10"/>
      <c r="F34" s="10"/>
      <c r="G34" s="33">
        <v>0.0</v>
      </c>
      <c r="H34" s="10">
        <v>1500.0</v>
      </c>
      <c r="I34" s="10">
        <v>1500.0</v>
      </c>
      <c r="J34" s="10">
        <v>1500.0</v>
      </c>
      <c r="K34" s="10">
        <v>1500.0</v>
      </c>
      <c r="L34" s="10">
        <v>1500.0</v>
      </c>
      <c r="M34" s="10">
        <v>1500.0</v>
      </c>
      <c r="N34" s="10"/>
      <c r="O34" s="10">
        <v>1500.0</v>
      </c>
      <c r="P34" s="10">
        <v>1500.0</v>
      </c>
      <c r="Q34" s="10">
        <v>1500.0</v>
      </c>
      <c r="R34" s="10">
        <v>1500.0</v>
      </c>
      <c r="S34" s="10"/>
      <c r="T34" s="34">
        <f t="shared" si="10"/>
        <v>15000</v>
      </c>
    </row>
    <row r="35" ht="14.25" customHeight="1">
      <c r="A35" s="10" t="s">
        <v>45</v>
      </c>
      <c r="B35" s="10">
        <v>900.0</v>
      </c>
      <c r="C35" s="10"/>
      <c r="D35" s="10"/>
      <c r="E35" s="10"/>
      <c r="F35" s="10"/>
      <c r="G35" s="33">
        <v>0.0</v>
      </c>
      <c r="H35" s="10">
        <f>B35*2</f>
        <v>1800</v>
      </c>
      <c r="I35" s="10">
        <v>1800.0</v>
      </c>
      <c r="J35" s="10">
        <v>1800.0</v>
      </c>
      <c r="K35" s="10">
        <v>1800.0</v>
      </c>
      <c r="L35" s="10">
        <v>1800.0</v>
      </c>
      <c r="M35" s="10">
        <v>1800.0</v>
      </c>
      <c r="N35" s="10"/>
      <c r="O35" s="10">
        <v>1800.0</v>
      </c>
      <c r="P35" s="10">
        <v>1800.0</v>
      </c>
      <c r="Q35" s="10">
        <v>1800.0</v>
      </c>
      <c r="R35" s="10">
        <v>1800.0</v>
      </c>
      <c r="S35" s="10"/>
      <c r="T35" s="34">
        <f t="shared" si="10"/>
        <v>18000</v>
      </c>
    </row>
    <row r="36" ht="14.25" customHeight="1">
      <c r="A36" s="10" t="s">
        <v>46</v>
      </c>
      <c r="B36" s="10">
        <v>60.0</v>
      </c>
      <c r="C36" s="10"/>
      <c r="D36" s="10"/>
      <c r="E36" s="10"/>
      <c r="F36" s="10"/>
      <c r="G36" s="35">
        <v>0.0</v>
      </c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27">
        <f>SUM(T33:T35)</f>
        <v>58000</v>
      </c>
    </row>
    <row r="37" ht="14.25" customHeight="1">
      <c r="G37" s="27">
        <f>G35-G30</f>
        <v>-6683.431925</v>
      </c>
      <c r="S37" s="36" t="s">
        <v>47</v>
      </c>
      <c r="T37" s="37">
        <f>T36-T30</f>
        <v>30312.73239</v>
      </c>
    </row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mergeCells count="3">
    <mergeCell ref="C1:F1"/>
    <mergeCell ref="G1:J1"/>
    <mergeCell ref="L1:N1"/>
  </mergeCells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6.38"/>
    <col customWidth="1" min="2" max="26" width="7.63"/>
  </cols>
  <sheetData>
    <row r="1" ht="14.25" customHeight="1">
      <c r="A1" s="11" t="s">
        <v>48</v>
      </c>
      <c r="B1" s="10" t="s">
        <v>25</v>
      </c>
      <c r="C1" s="10" t="s">
        <v>49</v>
      </c>
    </row>
    <row r="2" ht="14.25" customHeight="1">
      <c r="A2" s="12" t="s">
        <v>50</v>
      </c>
      <c r="B2" s="27">
        <v>30.0</v>
      </c>
      <c r="C2" s="10" t="s">
        <v>51</v>
      </c>
    </row>
    <row r="3" ht="14.25" customHeight="1">
      <c r="A3" s="12" t="s">
        <v>52</v>
      </c>
      <c r="B3" s="27">
        <v>30.0</v>
      </c>
      <c r="C3" s="10" t="s">
        <v>51</v>
      </c>
    </row>
    <row r="4" ht="14.25" customHeight="1">
      <c r="A4" s="38" t="s">
        <v>53</v>
      </c>
      <c r="B4" s="10"/>
      <c r="C4" s="10"/>
    </row>
    <row r="5" ht="14.25" customHeight="1">
      <c r="A5" s="12" t="s">
        <v>54</v>
      </c>
      <c r="B5" s="10"/>
      <c r="C5" s="10"/>
    </row>
    <row r="6" ht="14.25" customHeight="1">
      <c r="A6" s="12" t="s">
        <v>55</v>
      </c>
      <c r="B6" s="27">
        <v>10.0</v>
      </c>
      <c r="C6" s="10" t="s">
        <v>51</v>
      </c>
    </row>
    <row r="7" ht="14.25" customHeight="1">
      <c r="A7" s="39" t="s">
        <v>56</v>
      </c>
      <c r="B7" s="40">
        <v>40.0</v>
      </c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2025-08-22T08:04:06Z</dcterms:created>
  <dc:creator>Damian Kuczyński</dc:creator>
</cp:coreProperties>
</file>