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ucz\Downloads\"/>
    </mc:Choice>
  </mc:AlternateContent>
  <xr:revisionPtr revIDLastSave="0" documentId="8_{CEDF37A1-D87A-4AF2-A1FA-826C227D752F}" xr6:coauthVersionLast="47" xr6:coauthVersionMax="47" xr10:uidLastSave="{00000000-0000-0000-0000-000000000000}"/>
  <bookViews>
    <workbookView xWindow="28680" yWindow="-120" windowWidth="29040" windowHeight="15720" xr2:uid="{3D534B2E-FC2E-472F-A9F4-0C66E5C8FA41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1" l="1"/>
  <c r="N8" i="1"/>
  <c r="M8" i="1"/>
  <c r="M5" i="1"/>
  <c r="J8" i="1"/>
  <c r="J7" i="1" a="1"/>
  <c r="J6" i="1"/>
  <c r="H6" i="1"/>
  <c r="G6" i="1"/>
  <c r="J5" i="1"/>
  <c r="J4" i="1"/>
  <c r="G5" i="1"/>
  <c r="G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<sst xmlns="http://schemas.openxmlformats.org/spreadsheetml/2006/main" count="28" uniqueCount="27">
  <si>
    <t>1.</t>
  </si>
  <si>
    <t>Przygotowanie bazy firm sprzedających na marketplace za granicą ale nie na eMAG</t>
  </si>
  <si>
    <t>Maciek</t>
  </si>
  <si>
    <t>Koszt</t>
  </si>
  <si>
    <t>Marża CBCA</t>
  </si>
  <si>
    <t>Cena sprzedaży</t>
  </si>
  <si>
    <t>2.</t>
  </si>
  <si>
    <t>3.</t>
  </si>
  <si>
    <t>Partnership Manager - otwieranie relacji z partnerami, przekazywanie do Project Managera, doprowadzenie do pierwszego spotkania parnterskiego</t>
  </si>
  <si>
    <t>Unit</t>
  </si>
  <si>
    <t>Godzina</t>
  </si>
  <si>
    <t>Budżet</t>
  </si>
  <si>
    <t>Ilość godzin miesięcznie</t>
  </si>
  <si>
    <t>Ile spotkań miesięcznie</t>
  </si>
  <si>
    <t>4.</t>
  </si>
  <si>
    <t>Project Manager Partnership - identyfikacja agencji, komunikacja z partnerami, dzownienie, sprzedaż, umowa partnerska, ustalaja cele, przypomnia się, discovery meetings, angażowanie sieci CBCA do dotarca do decydentów</t>
  </si>
  <si>
    <t>Cold Calling - bezpośrednio do firm z ofertą eMag. Umówienie sales meeting z project managerem</t>
  </si>
  <si>
    <t xml:space="preserve">5. </t>
  </si>
  <si>
    <t xml:space="preserve"> Management fee - 20% wartości 2-4</t>
  </si>
  <si>
    <t>godzina</t>
  </si>
  <si>
    <t>TOTAL</t>
  </si>
  <si>
    <t>Subskrypcja Pakiet GOLD</t>
  </si>
  <si>
    <t xml:space="preserve">6. </t>
  </si>
  <si>
    <t>Przykłądowe KPI</t>
  </si>
  <si>
    <t>Spotkań</t>
  </si>
  <si>
    <t>Sklepów od parnteró (średnio 3 sklepy od partnera)</t>
  </si>
  <si>
    <t>owalem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</si>
</sst>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\ [$zł-415]_-;\-* #,##0\ [$zł-415]_-;_-* &quot;-&quot;??\ [$zł-415]_-;_-@_-"/>
    <numFmt numFmtId="168" formatCode="_-* #,##0.0000\ [$zł-415]_-;\-* #,##0.0000\ [$zł-415]_-;_-* &quot;-&quot;??\ [$zł-415]_-;_-@_-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0" fillId="0" borderId="1" xfId="0" applyFill="1" applyBorder="1"/>
    <xf numFmtId="0" fontId="0" fillId="0" borderId="2" xfId="0" applyFill="1" applyBorder="1"/>
    <xf numFmtId="166" fontId="0" fillId="0" borderId="0" xfId="0" applyNumberFormat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168" fontId="0" fillId="0" borderId="1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B207-FD31-4CF7-A0F4-CB6C74EF86CA}">
  <dimension ref="A1:O8"/>
  <sheetViews>
    <sheetView tabSelected="1" topLeftCell="C1" zoomScale="175" zoomScaleNormal="175" workbookViewId="0">
      <selection activeCell="M3" sqref="M3:N3"/>
    </sheetView>
  </sheetViews>
  <sheetFormatPr defaultRowHeight="14.5" x14ac:dyDescent="0.35"/>
  <cols>
    <col min="2" max="2" width="83.453125" customWidth="1"/>
    <col min="6" max="6" width="13.08984375" customWidth="1"/>
    <col min="7" max="7" width="16.36328125" customWidth="1"/>
    <col min="8" max="8" width="22.26953125" customWidth="1"/>
    <col min="10" max="10" width="11.81640625" bestFit="1" customWidth="1"/>
    <col min="13" max="13" width="10.1796875" bestFit="1" customWidth="1"/>
    <col min="14" max="14" width="11.453125" bestFit="1" customWidth="1"/>
  </cols>
  <sheetData>
    <row r="1" spans="1:15" x14ac:dyDescent="0.35">
      <c r="N1" s="1"/>
      <c r="O1" s="1"/>
    </row>
    <row r="2" spans="1:15" ht="58" x14ac:dyDescent="0.35">
      <c r="A2" s="9"/>
      <c r="B2" s="9"/>
      <c r="C2" s="9"/>
      <c r="D2" s="9" t="s">
        <v>3</v>
      </c>
      <c r="E2" s="9" t="s">
        <v>9</v>
      </c>
      <c r="F2" s="9" t="s">
        <v>4</v>
      </c>
      <c r="G2" s="9" t="s">
        <v>5</v>
      </c>
      <c r="H2" s="10" t="s">
        <v>12</v>
      </c>
      <c r="I2" s="10" t="s">
        <v>13</v>
      </c>
      <c r="J2" s="11" t="s">
        <v>11</v>
      </c>
      <c r="M2" s="2" t="s">
        <v>23</v>
      </c>
      <c r="N2" s="2"/>
    </row>
    <row r="3" spans="1:15" x14ac:dyDescent="0.35">
      <c r="A3" s="2" t="s">
        <v>0</v>
      </c>
      <c r="B3" s="2" t="s">
        <v>1</v>
      </c>
      <c r="C3" s="2" t="s">
        <v>2</v>
      </c>
      <c r="D3" s="2"/>
      <c r="E3" s="2"/>
      <c r="F3" s="2"/>
      <c r="G3" s="2"/>
      <c r="H3" s="2"/>
      <c r="I3" s="2"/>
      <c r="J3" s="2"/>
      <c r="M3" s="13" t="s">
        <v>26</v>
      </c>
      <c r="N3" s="14"/>
    </row>
    <row r="4" spans="1:15" ht="29" x14ac:dyDescent="0.35">
      <c r="A4" s="2" t="s">
        <v>6</v>
      </c>
      <c r="B4" s="3" t="s">
        <v>8</v>
      </c>
      <c r="C4" s="2"/>
      <c r="D4" s="2">
        <v>150</v>
      </c>
      <c r="E4" s="2" t="s">
        <v>10</v>
      </c>
      <c r="F4" s="4">
        <v>1.3</v>
      </c>
      <c r="G4" s="2">
        <f>D4*F4</f>
        <v>195</v>
      </c>
      <c r="H4" s="2">
        <v>30</v>
      </c>
      <c r="I4" s="2">
        <v>30</v>
      </c>
      <c r="J4" s="8">
        <f>G4*H4</f>
        <v>5850</v>
      </c>
      <c r="M4" s="2">
        <f>30*6</f>
        <v>180</v>
      </c>
      <c r="N4" s="2" t="s">
        <v>24</v>
      </c>
    </row>
    <row r="5" spans="1:15" ht="72.5" x14ac:dyDescent="0.35">
      <c r="A5" s="2" t="s">
        <v>7</v>
      </c>
      <c r="B5" s="3" t="s">
        <v>15</v>
      </c>
      <c r="C5" s="2"/>
      <c r="D5" s="2">
        <v>99</v>
      </c>
      <c r="E5" s="2" t="s">
        <v>19</v>
      </c>
      <c r="F5" s="4">
        <v>1.2</v>
      </c>
      <c r="G5" s="2">
        <f>D5*F5</f>
        <v>118.8</v>
      </c>
      <c r="H5" s="2">
        <v>168</v>
      </c>
      <c r="I5" s="2"/>
      <c r="J5" s="8">
        <f>G5*H5</f>
        <v>19958.399999999998</v>
      </c>
      <c r="M5" s="2">
        <f>M4*2</f>
        <v>360</v>
      </c>
      <c r="N5" s="3" t="s">
        <v>25</v>
      </c>
    </row>
    <row r="6" spans="1:15" x14ac:dyDescent="0.35">
      <c r="A6" s="2" t="s">
        <v>14</v>
      </c>
      <c r="B6" s="5" t="s">
        <v>16</v>
      </c>
      <c r="C6" s="2"/>
      <c r="D6" s="2">
        <v>56</v>
      </c>
      <c r="E6" s="2" t="s">
        <v>19</v>
      </c>
      <c r="F6" s="4">
        <v>1.2</v>
      </c>
      <c r="G6" s="2">
        <f>D6*F6</f>
        <v>67.2</v>
      </c>
      <c r="H6" s="2">
        <f>15*4</f>
        <v>60</v>
      </c>
      <c r="I6" s="2"/>
      <c r="J6" s="8">
        <f>G6*H6</f>
        <v>4032</v>
      </c>
      <c r="M6" s="2"/>
      <c r="N6" s="2"/>
    </row>
    <row r="7" spans="1:15" x14ac:dyDescent="0.35">
      <c r="A7" s="2" t="s">
        <v>17</v>
      </c>
      <c r="B7" s="5" t="s">
        <v>18</v>
      </c>
      <c r="C7" s="2"/>
      <c r="D7" s="2"/>
      <c r="E7" s="2"/>
      <c r="F7" s="2"/>
      <c r="G7" s="2"/>
      <c r="H7" s="2"/>
      <c r="I7" s="2"/>
      <c r="J7" s="8" cm="1">
        <f t="array" ref="J7">SUM(J4:J6*20%)</f>
        <v>5968.08</v>
      </c>
      <c r="M7" s="2"/>
      <c r="N7" s="2"/>
    </row>
    <row r="8" spans="1:15" x14ac:dyDescent="0.35">
      <c r="A8" t="s">
        <v>22</v>
      </c>
      <c r="B8" s="6" t="s">
        <v>21</v>
      </c>
      <c r="J8" s="7">
        <f>SUM(J4:J7)</f>
        <v>35808.479999999996</v>
      </c>
      <c r="K8" t="s">
        <v>20</v>
      </c>
      <c r="M8" s="8">
        <f>J8*6</f>
        <v>214850.87999999998</v>
      </c>
      <c r="N8" s="12">
        <f>M8/M5</f>
        <v>596.80799999999988</v>
      </c>
    </row>
  </sheetData>
  <mergeCells count="1">
    <mergeCell ref="M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F726-E079-45DF-BE55-F40965F8BB4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Kuczynski</dc:creator>
  <cp:lastModifiedBy>Damian Kuczynski</cp:lastModifiedBy>
  <dcterms:created xsi:type="dcterms:W3CDTF">2026-06-03T12:28:19Z</dcterms:created>
  <dcterms:modified xsi:type="dcterms:W3CDTF">2026-06-03T13:00:17Z</dcterms:modified>
</cp:coreProperties>
</file>