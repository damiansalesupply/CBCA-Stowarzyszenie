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rkusz1" sheetId="2" r:id="rId5"/>
    <sheet state="visible" name="Pakiety Sponsorskie" sheetId="3" r:id="rId6"/>
  </sheets>
  <definedNames/>
  <calcPr/>
  <extLst>
    <ext uri="GoogleSheetsCustomDataVersion2">
      <go:sheetsCustomData xmlns:go="http://customooxmlschemas.google.com/" r:id="rId7" roundtripDataChecksum="IML69UzfCVz3/NWyZBpEHloU2Pq38jwCfiEnQtjBuIk="/>
    </ext>
  </extLst>
</workbook>
</file>

<file path=xl/sharedStrings.xml><?xml version="1.0" encoding="utf-8"?>
<sst xmlns="http://schemas.openxmlformats.org/spreadsheetml/2006/main" count="194" uniqueCount="93">
  <si>
    <t>Benefit / Tier</t>
  </si>
  <si>
    <t>Free</t>
  </si>
  <si>
    <t>Community (€60)</t>
  </si>
  <si>
    <t>Association (€900)</t>
  </si>
  <si>
    <t>Silver (~€1,500)</t>
  </si>
  <si>
    <t>Gold (€5,000)</t>
  </si>
  <si>
    <t>Newsletter subscription (basic)</t>
  </si>
  <si>
    <t>✔️</t>
  </si>
  <si>
    <t>Dostęp do forum / Slack (Community Acces)</t>
  </si>
  <si>
    <t>basic</t>
  </si>
  <si>
    <t>pełny</t>
  </si>
  <si>
    <t>Possbility to share your expert content in Community</t>
  </si>
  <si>
    <t>Networking calls (co 2 m-ce)</t>
  </si>
  <si>
    <t>-</t>
  </si>
  <si>
    <t>Meetup ticket</t>
  </si>
  <si>
    <t>✔️ (1)</t>
  </si>
  <si>
    <t>✔️ (2 VIP)</t>
  </si>
  <si>
    <t>Newsletter promo article + social media share</t>
  </si>
  <si>
    <t>Artykuł ekspercki na portalu</t>
  </si>
  <si>
    <t>Webinar sponsorowany</t>
  </si>
  <si>
    <t>Webinar dedykowany</t>
  </si>
  <si>
    <t>Logo na stronie</t>
  </si>
  <si>
    <t>✔️ (member page)</t>
  </si>
  <si>
    <t>Backlink + partner page</t>
  </si>
  <si>
    <t>✔️ (basic)</t>
  </si>
  <si>
    <t>✔️ (full)</t>
  </si>
  <si>
    <t>Routing leadów</t>
  </si>
  <si>
    <t>ograniczony</t>
  </si>
  <si>
    <t>Banner</t>
  </si>
  <si>
    <t>Using Associaton Logo in Partners Material</t>
  </si>
  <si>
    <t>Open AMA Calls</t>
  </si>
  <si>
    <t>2 yearly</t>
  </si>
  <si>
    <t>AMA Expert (1)</t>
  </si>
  <si>
    <t>Deep Dive AMA CALLS</t>
  </si>
  <si>
    <t>4 yearly</t>
  </si>
  <si>
    <t>Yearly Membership</t>
  </si>
  <si>
    <t>Add-ons</t>
  </si>
  <si>
    <t>video case</t>
  </si>
  <si>
    <t>indivudial pricing</t>
  </si>
  <si>
    <t>Yearly Meetup Strategc Sponsor</t>
  </si>
  <si>
    <t>tbc.</t>
  </si>
  <si>
    <t>Podziel widoczność od community</t>
  </si>
  <si>
    <t>– Gold/Silver = visibility + leady, Association/Community = networking + knowledge. Inaczej sponsorzy będą traktować członkostwo jako „reklamę”, a nie relację.</t>
  </si>
  <si>
    <t>📌 Propozycja wdrożenia AMA:</t>
  </si>
  <si>
    <t>Community → 2 razy do roku otwarte AMA (np. trendy w marketplace’ach, nowe regulacje VAT OSS).</t>
  </si>
  <si>
    <t>Association → 4 razy do roku zamknięte AMA (np. deep dive w logistyce cross-border, aspekty prawne, partnerzy fulfillment).</t>
  </si>
  <si>
    <t>Silver/Gold → sponsor może prowadzić lub współprowadzić jedno AMA rocznie jako ekspert.</t>
  </si>
  <si>
    <t>ŹRÓDŁA PRZYCHODÓW</t>
  </si>
  <si>
    <t>Składka</t>
  </si>
  <si>
    <t>Koszt (roczny)</t>
  </si>
  <si>
    <t>Co w składce</t>
  </si>
  <si>
    <t>Członek Zwykły</t>
  </si>
  <si>
    <t>TAK</t>
  </si>
  <si>
    <t>Subskrypcja, Używanie Identyfikacji, Networking</t>
  </si>
  <si>
    <t>Członek Wspierający</t>
  </si>
  <si>
    <t xml:space="preserve">Subskrypcja, Używanie Identyfikacji, Networking, Logo na stronie </t>
  </si>
  <si>
    <t>Członek Sympatyk</t>
  </si>
  <si>
    <t>NIE</t>
  </si>
  <si>
    <t>Używać Identyfikacji, Networking</t>
  </si>
  <si>
    <t>Suskrypcje</t>
  </si>
  <si>
    <t>Pełna (dostęp do Community i Materiałów i Pełny Newsletter)</t>
  </si>
  <si>
    <t>Pakiety Sponsorskie</t>
  </si>
  <si>
    <t>GOLD</t>
  </si>
  <si>
    <t>SILVER</t>
  </si>
  <si>
    <t>Association Member</t>
  </si>
  <si>
    <t>Community Member</t>
  </si>
  <si>
    <t xml:space="preserve">Free </t>
  </si>
  <si>
    <t>basic newsletter subscprition</t>
  </si>
  <si>
    <t>yes</t>
  </si>
  <si>
    <t>newsletter article</t>
  </si>
  <si>
    <t>no</t>
  </si>
  <si>
    <t>webinar sponsor (logo + mentioning about company core service/product)</t>
  </si>
  <si>
    <t>2 webinars</t>
  </si>
  <si>
    <t>1 webinar</t>
  </si>
  <si>
    <t>banner on the website</t>
  </si>
  <si>
    <t>Membership Page (logo)</t>
  </si>
  <si>
    <t>partner page on website (logo + description) + backlink</t>
  </si>
  <si>
    <t>expert article on portal</t>
  </si>
  <si>
    <t xml:space="preserve">yes </t>
  </si>
  <si>
    <t>webinar with a sponsor about their filed of expertise</t>
  </si>
  <si>
    <t>Yearly membership fee in association included</t>
  </si>
  <si>
    <t>Community Acccess</t>
  </si>
  <si>
    <t>yes (basic acces)</t>
  </si>
  <si>
    <t>Cooperation Forum</t>
  </si>
  <si>
    <t>Yearly Meetup ticket (place to be decide)</t>
  </si>
  <si>
    <t>Sponsor can information that they cooperate with Association (ex. On. Theirp partner pages)</t>
  </si>
  <si>
    <t>Routing potential leads for partner services to the partner</t>
  </si>
  <si>
    <t>PRICE</t>
  </si>
  <si>
    <t>Monthly</t>
  </si>
  <si>
    <t>$$$</t>
  </si>
  <si>
    <t>Estimate</t>
  </si>
  <si>
    <t>Gold Packets</t>
  </si>
  <si>
    <t>Silver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</si>
</sst>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€-2]\ * #,##0_-;\-[$€-2]\ * #,##0_-;_-[$€-2]\ * &quot;-&quot;??_-;_-@"/>
    <numFmt numFmtId="165" formatCode="_-[$€-2]\ * #,##0.00_-;\-[$€-2]\ * #,##0.00_-;_-[$€-2]\ * &quot;-&quot;??_-;_-@"/>
  </numFmts>
  <fonts count="10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/>
    <font>
      <b/>
      <sz val="14.0"/>
      <color rgb="FF000000"/>
      <name val="&quot;Aptos Narrow&quot;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i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shrinkToFit="0" vertical="bottom" wrapText="0"/>
    </xf>
    <xf borderId="5" fillId="0" fontId="4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0" fillId="0" fontId="6" numFmtId="0" xfId="0" applyFont="1"/>
    <xf borderId="0" fillId="0" fontId="7" numFmtId="0" xfId="0" applyFont="1"/>
    <xf borderId="0" fillId="0" fontId="8" numFmtId="164" xfId="0" applyFont="1" applyNumberFormat="1"/>
    <xf borderId="0" fillId="0" fontId="8" numFmtId="0" xfId="0" applyAlignment="1" applyFont="1">
      <alignment horizontal="right" shrinkToFit="0" wrapText="1"/>
    </xf>
    <xf borderId="1" fillId="0" fontId="8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9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0</xdr:row>
      <xdr:rowOff>161925</xdr:rowOff>
    </xdr:from>
    <xdr:ext cx="9877425" cy="5591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0"/>
    <col customWidth="1" min="2" max="2" width="27.63"/>
    <col customWidth="1" min="3" max="3" width="28.38"/>
    <col customWidth="1" min="4" max="4" width="22.88"/>
    <col customWidth="1" min="5" max="5" width="19.5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</row>
    <row r="4">
      <c r="A4" s="4" t="s">
        <v>11</v>
      </c>
      <c r="B4" s="3"/>
      <c r="C4" s="5"/>
      <c r="D4" s="3" t="s">
        <v>7</v>
      </c>
      <c r="E4" s="3" t="s">
        <v>7</v>
      </c>
      <c r="F4" s="3" t="s">
        <v>7</v>
      </c>
    </row>
    <row r="5">
      <c r="A5" s="2" t="s">
        <v>12</v>
      </c>
      <c r="B5" s="3" t="s">
        <v>13</v>
      </c>
      <c r="C5" s="5"/>
      <c r="D5" s="3" t="s">
        <v>7</v>
      </c>
      <c r="E5" s="3" t="s">
        <v>7</v>
      </c>
      <c r="F5" s="3" t="s">
        <v>7</v>
      </c>
    </row>
    <row r="6">
      <c r="A6" s="2" t="s">
        <v>14</v>
      </c>
      <c r="B6" s="3" t="s">
        <v>13</v>
      </c>
      <c r="C6" s="3" t="s">
        <v>13</v>
      </c>
      <c r="D6" s="3" t="s">
        <v>15</v>
      </c>
      <c r="E6" s="3" t="s">
        <v>15</v>
      </c>
      <c r="F6" s="3" t="s">
        <v>16</v>
      </c>
    </row>
    <row r="7">
      <c r="A7" s="4" t="s">
        <v>17</v>
      </c>
      <c r="B7" s="5"/>
      <c r="C7" s="5"/>
      <c r="D7" s="5"/>
      <c r="E7" s="3" t="s">
        <v>7</v>
      </c>
      <c r="F7" s="3" t="s">
        <v>7</v>
      </c>
    </row>
    <row r="8">
      <c r="A8" s="2" t="s">
        <v>18</v>
      </c>
      <c r="B8" s="3" t="s">
        <v>13</v>
      </c>
      <c r="C8" s="3" t="s">
        <v>13</v>
      </c>
      <c r="D8" s="3" t="s">
        <v>13</v>
      </c>
      <c r="E8" s="3">
        <v>1.0</v>
      </c>
      <c r="F8" s="3">
        <v>3.0</v>
      </c>
    </row>
    <row r="9">
      <c r="A9" s="2" t="s">
        <v>19</v>
      </c>
      <c r="B9" s="3" t="s">
        <v>13</v>
      </c>
      <c r="C9" s="3" t="s">
        <v>13</v>
      </c>
      <c r="D9" s="3" t="s">
        <v>13</v>
      </c>
      <c r="E9" s="3">
        <v>1.0</v>
      </c>
      <c r="F9" s="3">
        <v>2.0</v>
      </c>
    </row>
    <row r="10">
      <c r="A10" s="2" t="s">
        <v>20</v>
      </c>
      <c r="B10" s="3" t="s">
        <v>13</v>
      </c>
      <c r="C10" s="3" t="s">
        <v>13</v>
      </c>
      <c r="D10" s="3" t="s">
        <v>13</v>
      </c>
      <c r="E10" s="3" t="s">
        <v>13</v>
      </c>
      <c r="F10" s="3">
        <v>1.0</v>
      </c>
    </row>
    <row r="11">
      <c r="A11" s="2" t="s">
        <v>21</v>
      </c>
      <c r="B11" s="3" t="s">
        <v>13</v>
      </c>
      <c r="C11" s="3" t="s">
        <v>13</v>
      </c>
      <c r="D11" s="3" t="s">
        <v>22</v>
      </c>
      <c r="E11" s="3" t="s">
        <v>7</v>
      </c>
      <c r="F11" s="3" t="s">
        <v>7</v>
      </c>
    </row>
    <row r="12">
      <c r="A12" s="2" t="s">
        <v>23</v>
      </c>
      <c r="B12" s="3" t="s">
        <v>13</v>
      </c>
      <c r="C12" s="3" t="s">
        <v>13</v>
      </c>
      <c r="D12" s="3" t="s">
        <v>13</v>
      </c>
      <c r="E12" s="3" t="s">
        <v>24</v>
      </c>
      <c r="F12" s="3" t="s">
        <v>25</v>
      </c>
    </row>
    <row r="13">
      <c r="A13" s="2" t="s">
        <v>26</v>
      </c>
      <c r="B13" s="3" t="s">
        <v>13</v>
      </c>
      <c r="C13" s="3" t="s">
        <v>13</v>
      </c>
      <c r="D13" s="3" t="s">
        <v>13</v>
      </c>
      <c r="E13" s="3" t="s">
        <v>27</v>
      </c>
      <c r="F13" s="3" t="s">
        <v>10</v>
      </c>
    </row>
    <row r="14">
      <c r="A14" s="2" t="s">
        <v>28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7</v>
      </c>
    </row>
    <row r="15">
      <c r="A15" s="6" t="s">
        <v>29</v>
      </c>
      <c r="B15" s="7"/>
      <c r="C15" s="8"/>
      <c r="D15" s="9" t="s">
        <v>7</v>
      </c>
      <c r="E15" s="8"/>
      <c r="F15" s="8"/>
    </row>
    <row r="16">
      <c r="A16" s="2" t="s">
        <v>30</v>
      </c>
      <c r="B16" s="5"/>
      <c r="C16" s="3" t="s">
        <v>31</v>
      </c>
      <c r="D16" s="3" t="s">
        <v>31</v>
      </c>
      <c r="E16" s="5"/>
      <c r="F16" s="10" t="s">
        <v>32</v>
      </c>
    </row>
    <row r="17">
      <c r="A17" s="2" t="s">
        <v>33</v>
      </c>
      <c r="B17" s="11"/>
      <c r="C17" s="11"/>
      <c r="D17" s="3" t="s">
        <v>34</v>
      </c>
      <c r="E17" s="11"/>
      <c r="F17" s="12"/>
    </row>
    <row r="18">
      <c r="A18" s="13"/>
      <c r="B18" s="13"/>
      <c r="C18" s="13"/>
      <c r="D18" s="13"/>
      <c r="E18" s="13"/>
      <c r="F18" s="13"/>
    </row>
    <row r="19">
      <c r="A19" s="14" t="s">
        <v>35</v>
      </c>
      <c r="B19" s="13"/>
      <c r="C19" s="13"/>
      <c r="D19" s="13"/>
      <c r="E19" s="13"/>
      <c r="F19" s="13"/>
    </row>
    <row r="20">
      <c r="A20" s="13"/>
      <c r="B20" s="13"/>
      <c r="C20" s="13"/>
      <c r="D20" s="13"/>
      <c r="E20" s="13"/>
      <c r="F20" s="13"/>
    </row>
    <row r="21">
      <c r="A21" s="13"/>
      <c r="B21" s="13"/>
      <c r="C21" s="13"/>
      <c r="D21" s="13"/>
      <c r="E21" s="13"/>
      <c r="F21" s="13"/>
    </row>
    <row r="22">
      <c r="A22" s="15" t="s">
        <v>36</v>
      </c>
      <c r="B22" s="11"/>
      <c r="C22" s="13"/>
      <c r="D22" s="13"/>
      <c r="E22" s="13"/>
      <c r="F22" s="13"/>
    </row>
    <row r="23">
      <c r="A23" s="2" t="s">
        <v>37</v>
      </c>
      <c r="B23" s="2" t="s">
        <v>38</v>
      </c>
      <c r="C23" s="13"/>
      <c r="D23" s="13"/>
      <c r="E23" s="13"/>
      <c r="F23" s="13"/>
    </row>
    <row r="24">
      <c r="A24" s="2" t="s">
        <v>39</v>
      </c>
      <c r="B24" s="2" t="s">
        <v>40</v>
      </c>
      <c r="C24" s="13"/>
      <c r="D24" s="13"/>
      <c r="E24" s="13"/>
      <c r="F24" s="13"/>
    </row>
    <row r="25">
      <c r="A25" s="13"/>
      <c r="B25" s="13"/>
      <c r="C25" s="13"/>
      <c r="D25" s="13"/>
      <c r="E25" s="13"/>
      <c r="F25" s="13"/>
    </row>
    <row r="26">
      <c r="A26" s="13"/>
      <c r="B26" s="13"/>
      <c r="C26" s="13"/>
      <c r="D26" s="13"/>
      <c r="E26" s="13"/>
      <c r="F26" s="13"/>
    </row>
    <row r="27">
      <c r="A27" s="16" t="s">
        <v>41</v>
      </c>
      <c r="B27" s="13"/>
      <c r="C27" s="13"/>
      <c r="D27" s="13"/>
      <c r="E27" s="13"/>
      <c r="F27" s="13"/>
    </row>
    <row r="28">
      <c r="A28" s="14" t="s">
        <v>42</v>
      </c>
      <c r="D28" s="13"/>
      <c r="E28" s="13"/>
      <c r="F28" s="13"/>
    </row>
    <row r="29">
      <c r="A29" s="13"/>
      <c r="B29" s="13"/>
      <c r="C29" s="13"/>
      <c r="D29" s="13"/>
      <c r="E29" s="13"/>
      <c r="F29" s="13"/>
    </row>
    <row r="30">
      <c r="A30" s="13"/>
      <c r="B30" s="13"/>
      <c r="C30" s="13"/>
      <c r="D30" s="13"/>
      <c r="E30" s="13"/>
      <c r="F30" s="13"/>
    </row>
    <row r="31">
      <c r="A31" s="17" t="s">
        <v>43</v>
      </c>
      <c r="B31" s="13"/>
      <c r="C31" s="13"/>
      <c r="D31" s="13"/>
      <c r="E31" s="13"/>
      <c r="F31" s="13"/>
    </row>
    <row r="32">
      <c r="A32" s="18"/>
      <c r="B32" s="13"/>
      <c r="C32" s="13"/>
      <c r="D32" s="13"/>
      <c r="E32" s="13"/>
      <c r="F32" s="13"/>
    </row>
    <row r="33">
      <c r="A33" s="19" t="s">
        <v>44</v>
      </c>
      <c r="C33" s="13"/>
      <c r="D33" s="13"/>
      <c r="E33" s="13"/>
      <c r="F33" s="13"/>
    </row>
    <row r="34">
      <c r="A34" s="18"/>
      <c r="B34" s="13"/>
      <c r="C34" s="13"/>
      <c r="D34" s="13"/>
      <c r="E34" s="13"/>
      <c r="F34" s="13"/>
    </row>
    <row r="35">
      <c r="A35" s="19" t="s">
        <v>45</v>
      </c>
      <c r="D35" s="13"/>
      <c r="E35" s="13"/>
      <c r="F35" s="13"/>
    </row>
    <row r="36">
      <c r="A36" s="18"/>
      <c r="B36" s="13"/>
      <c r="C36" s="13"/>
      <c r="D36" s="13"/>
      <c r="E36" s="13"/>
      <c r="F36" s="13"/>
    </row>
    <row r="37">
      <c r="A37" s="19" t="s">
        <v>46</v>
      </c>
      <c r="C37" s="13"/>
      <c r="D37" s="13"/>
      <c r="E37" s="13"/>
      <c r="F37" s="13"/>
    </row>
  </sheetData>
  <mergeCells count="5">
    <mergeCell ref="F16:F17"/>
    <mergeCell ref="A28:C28"/>
    <mergeCell ref="A33:B33"/>
    <mergeCell ref="A35:C35"/>
    <mergeCell ref="A37:B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7.5"/>
    <col customWidth="1" min="3" max="3" width="21.0"/>
    <col customWidth="1" min="4" max="4" width="11.75"/>
    <col customWidth="1" min="5" max="5" width="29.38"/>
    <col customWidth="1" min="6" max="26" width="7.63"/>
  </cols>
  <sheetData>
    <row r="1" ht="14.25" customHeight="1"/>
    <row r="2" ht="14.25" customHeight="1">
      <c r="B2" s="20" t="s">
        <v>47</v>
      </c>
      <c r="C2" s="21" t="s">
        <v>48</v>
      </c>
      <c r="D2" s="21" t="s">
        <v>49</v>
      </c>
      <c r="E2" s="21" t="s">
        <v>50</v>
      </c>
    </row>
    <row r="3" ht="14.25" customHeight="1">
      <c r="B3" s="20" t="s">
        <v>51</v>
      </c>
      <c r="C3" s="20" t="s">
        <v>52</v>
      </c>
      <c r="E3" s="20" t="s">
        <v>53</v>
      </c>
    </row>
    <row r="4" ht="14.25" customHeight="1">
      <c r="B4" s="20" t="s">
        <v>54</v>
      </c>
      <c r="C4" s="20" t="s">
        <v>52</v>
      </c>
      <c r="D4" s="22">
        <v>900.0</v>
      </c>
      <c r="E4" s="20" t="s">
        <v>55</v>
      </c>
    </row>
    <row r="5" ht="14.25" customHeight="1">
      <c r="B5" s="20" t="s">
        <v>56</v>
      </c>
      <c r="C5" s="20" t="s">
        <v>57</v>
      </c>
      <c r="E5" s="20" t="s">
        <v>58</v>
      </c>
    </row>
    <row r="6" ht="14.25" customHeight="1"/>
    <row r="7" ht="14.25" customHeight="1">
      <c r="B7" s="21" t="s">
        <v>59</v>
      </c>
    </row>
    <row r="8" ht="14.25" customHeight="1">
      <c r="B8" s="23" t="s">
        <v>60</v>
      </c>
    </row>
    <row r="9" ht="14.25" customHeight="1">
      <c r="B9" s="20" t="s">
        <v>61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0"/>
    <col customWidth="1" min="2" max="2" width="14.88"/>
    <col customWidth="1" min="3" max="3" width="9.5"/>
    <col customWidth="1" min="4" max="4" width="17.38"/>
    <col customWidth="1" min="5" max="5" width="18.5"/>
    <col customWidth="1" min="6" max="6" width="13.38"/>
    <col customWidth="1" min="7" max="26" width="7.63"/>
  </cols>
  <sheetData>
    <row r="1" ht="14.25" customHeight="1">
      <c r="A1" s="24"/>
      <c r="B1" s="25" t="s">
        <v>62</v>
      </c>
      <c r="C1" s="25" t="s">
        <v>63</v>
      </c>
      <c r="D1" s="25" t="s">
        <v>64</v>
      </c>
      <c r="E1" s="25" t="s">
        <v>65</v>
      </c>
      <c r="F1" s="26" t="s">
        <v>66</v>
      </c>
    </row>
    <row r="2" ht="14.25" customHeight="1">
      <c r="A2" s="24" t="s">
        <v>67</v>
      </c>
      <c r="B2" s="27" t="s">
        <v>68</v>
      </c>
      <c r="C2" s="27" t="s">
        <v>68</v>
      </c>
      <c r="D2" s="27" t="s">
        <v>68</v>
      </c>
      <c r="E2" s="27" t="s">
        <v>68</v>
      </c>
      <c r="F2" s="27" t="s">
        <v>68</v>
      </c>
    </row>
    <row r="3" ht="14.25" customHeight="1">
      <c r="A3" s="24" t="s">
        <v>69</v>
      </c>
      <c r="B3" s="27">
        <v>3.0</v>
      </c>
      <c r="C3" s="27">
        <v>1.0</v>
      </c>
      <c r="D3" s="27" t="s">
        <v>70</v>
      </c>
      <c r="E3" s="27" t="s">
        <v>70</v>
      </c>
      <c r="F3" s="27"/>
    </row>
    <row r="4" ht="14.25" customHeight="1">
      <c r="A4" s="24" t="s">
        <v>71</v>
      </c>
      <c r="B4" s="27" t="s">
        <v>72</v>
      </c>
      <c r="C4" s="27" t="s">
        <v>73</v>
      </c>
      <c r="D4" s="27" t="s">
        <v>70</v>
      </c>
      <c r="E4" s="27" t="s">
        <v>70</v>
      </c>
      <c r="F4" s="27"/>
    </row>
    <row r="5" ht="14.25" customHeight="1">
      <c r="A5" s="24" t="s">
        <v>74</v>
      </c>
      <c r="B5" s="27" t="s">
        <v>68</v>
      </c>
      <c r="C5" s="27" t="s">
        <v>70</v>
      </c>
      <c r="D5" s="27" t="s">
        <v>70</v>
      </c>
      <c r="E5" s="27" t="s">
        <v>70</v>
      </c>
      <c r="F5" s="27"/>
    </row>
    <row r="6" ht="14.25" customHeight="1">
      <c r="A6" s="24" t="s">
        <v>75</v>
      </c>
      <c r="B6" s="27" t="s">
        <v>70</v>
      </c>
      <c r="C6" s="27" t="s">
        <v>70</v>
      </c>
      <c r="D6" s="27" t="s">
        <v>68</v>
      </c>
      <c r="E6" s="27" t="s">
        <v>70</v>
      </c>
      <c r="F6" s="27"/>
    </row>
    <row r="7" ht="14.25" customHeight="1">
      <c r="A7" s="24" t="s">
        <v>76</v>
      </c>
      <c r="B7" s="27" t="s">
        <v>68</v>
      </c>
      <c r="C7" s="27" t="s">
        <v>68</v>
      </c>
      <c r="D7" s="27" t="s">
        <v>70</v>
      </c>
      <c r="E7" s="27" t="s">
        <v>70</v>
      </c>
      <c r="F7" s="27"/>
    </row>
    <row r="8" ht="14.25" customHeight="1">
      <c r="A8" s="24" t="s">
        <v>77</v>
      </c>
      <c r="B8" s="27" t="s">
        <v>78</v>
      </c>
      <c r="C8" s="27" t="s">
        <v>70</v>
      </c>
      <c r="D8" s="27" t="s">
        <v>70</v>
      </c>
      <c r="E8" s="27" t="s">
        <v>70</v>
      </c>
      <c r="F8" s="27"/>
    </row>
    <row r="9" ht="14.25" customHeight="1">
      <c r="A9" s="24"/>
      <c r="B9" s="27"/>
      <c r="C9" s="27"/>
      <c r="D9" s="27"/>
      <c r="E9" s="27"/>
      <c r="F9" s="27"/>
    </row>
    <row r="10" ht="14.25" customHeight="1">
      <c r="A10" s="24" t="s">
        <v>79</v>
      </c>
      <c r="B10" s="27" t="s">
        <v>68</v>
      </c>
      <c r="C10" s="27" t="s">
        <v>70</v>
      </c>
      <c r="D10" s="27" t="s">
        <v>70</v>
      </c>
      <c r="E10" s="27" t="s">
        <v>70</v>
      </c>
      <c r="F10" s="27"/>
    </row>
    <row r="11" ht="14.25" customHeight="1">
      <c r="A11" s="24" t="s">
        <v>80</v>
      </c>
      <c r="B11" s="27" t="s">
        <v>68</v>
      </c>
      <c r="C11" s="27" t="s">
        <v>70</v>
      </c>
      <c r="D11" s="27" t="s">
        <v>68</v>
      </c>
      <c r="E11" s="27" t="s">
        <v>70</v>
      </c>
      <c r="F11" s="27"/>
    </row>
    <row r="12" ht="14.25" customHeight="1">
      <c r="A12" s="24" t="s">
        <v>81</v>
      </c>
      <c r="B12" s="27" t="s">
        <v>68</v>
      </c>
      <c r="C12" s="27" t="s">
        <v>70</v>
      </c>
      <c r="D12" s="27" t="s">
        <v>68</v>
      </c>
      <c r="E12" s="27" t="s">
        <v>68</v>
      </c>
      <c r="F12" s="27" t="s">
        <v>82</v>
      </c>
    </row>
    <row r="13" ht="14.25" customHeight="1">
      <c r="A13" s="24" t="s">
        <v>83</v>
      </c>
      <c r="B13" s="27" t="s">
        <v>68</v>
      </c>
      <c r="C13" s="27" t="s">
        <v>70</v>
      </c>
      <c r="D13" s="27" t="s">
        <v>68</v>
      </c>
      <c r="E13" s="27" t="s">
        <v>70</v>
      </c>
      <c r="F13" s="27"/>
    </row>
    <row r="14" ht="14.25" customHeight="1">
      <c r="A14" s="24" t="s">
        <v>84</v>
      </c>
      <c r="B14" s="27" t="s">
        <v>68</v>
      </c>
      <c r="C14" s="27" t="s">
        <v>70</v>
      </c>
      <c r="D14" s="27" t="s">
        <v>68</v>
      </c>
      <c r="E14" s="27" t="s">
        <v>70</v>
      </c>
      <c r="F14" s="27"/>
    </row>
    <row r="15" ht="14.25" customHeight="1">
      <c r="A15" s="24" t="s">
        <v>85</v>
      </c>
      <c r="B15" s="27" t="s">
        <v>68</v>
      </c>
      <c r="C15" s="27" t="s">
        <v>68</v>
      </c>
      <c r="D15" s="27" t="s">
        <v>68</v>
      </c>
      <c r="E15" s="27" t="s">
        <v>70</v>
      </c>
      <c r="F15" s="27"/>
    </row>
    <row r="16" ht="14.25" customHeight="1">
      <c r="A16" s="24" t="s">
        <v>86</v>
      </c>
      <c r="B16" s="27" t="s">
        <v>68</v>
      </c>
      <c r="C16" s="27" t="s">
        <v>70</v>
      </c>
      <c r="D16" s="27" t="s">
        <v>68</v>
      </c>
      <c r="E16" s="27" t="s">
        <v>70</v>
      </c>
      <c r="F16" s="27"/>
    </row>
    <row r="17" ht="14.25" customHeight="1">
      <c r="A17" s="28" t="s">
        <v>87</v>
      </c>
      <c r="B17" s="29">
        <v>4900.0</v>
      </c>
      <c r="C17" s="29">
        <v>290.0</v>
      </c>
      <c r="D17" s="28">
        <v>900.0</v>
      </c>
      <c r="E17" s="28">
        <f>E18*12</f>
        <v>60</v>
      </c>
      <c r="F17" s="28">
        <v>0.0</v>
      </c>
    </row>
    <row r="18" ht="14.25" customHeight="1">
      <c r="A18" s="28" t="s">
        <v>88</v>
      </c>
      <c r="B18" s="30">
        <f t="shared" ref="B18:D18" si="1">B17/12</f>
        <v>408.3333333</v>
      </c>
      <c r="C18" s="30">
        <f t="shared" si="1"/>
        <v>24.16666667</v>
      </c>
      <c r="D18" s="30">
        <f t="shared" si="1"/>
        <v>75</v>
      </c>
      <c r="E18" s="28">
        <v>5.0</v>
      </c>
      <c r="F18" s="28">
        <v>0.0</v>
      </c>
    </row>
    <row r="19" ht="14.25" customHeight="1">
      <c r="A19" s="25" t="s">
        <v>36</v>
      </c>
      <c r="B19" s="24"/>
    </row>
    <row r="20" ht="14.25" customHeight="1">
      <c r="A20" s="24" t="s">
        <v>37</v>
      </c>
      <c r="B20" s="24" t="s">
        <v>38</v>
      </c>
    </row>
    <row r="21" ht="14.25" customHeight="1">
      <c r="A21" s="24" t="s">
        <v>39</v>
      </c>
      <c r="B21" s="24" t="s">
        <v>89</v>
      </c>
    </row>
    <row r="22" ht="14.25" customHeight="1"/>
    <row r="23" ht="14.25" customHeight="1"/>
    <row r="24" ht="14.25" customHeight="1"/>
    <row r="25" ht="14.25" customHeight="1"/>
    <row r="26" ht="14.25" customHeight="1">
      <c r="A26" s="20" t="s">
        <v>90</v>
      </c>
    </row>
    <row r="27" ht="14.25" customHeight="1">
      <c r="A27" s="20" t="s">
        <v>91</v>
      </c>
      <c r="B27" s="20">
        <v>20.0</v>
      </c>
      <c r="C27" s="20">
        <f>B17*B27</f>
        <v>98000</v>
      </c>
    </row>
    <row r="28" ht="14.25" customHeight="1">
      <c r="A28" s="20" t="s">
        <v>92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2025-08-21T06:46:42Z</dcterms:created>
  <dc:creator>Damian Kuczyński</dc:creator>
</cp:coreProperties>
</file>